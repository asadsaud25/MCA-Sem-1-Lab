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SD\Desktop\MCA Sem1\week 1\"/>
    </mc:Choice>
  </mc:AlternateContent>
  <xr:revisionPtr revIDLastSave="0" documentId="8_{B688BE8F-2FAD-490B-BEEF-48821DBB45A9}" xr6:coauthVersionLast="47" xr6:coauthVersionMax="47" xr10:uidLastSave="{00000000-0000-0000-0000-000000000000}"/>
  <bookViews>
    <workbookView xWindow="-120" yWindow="-120" windowWidth="20730" windowHeight="11040" xr2:uid="{DD5D8CAD-8D82-4AF5-BD06-C2F7D78437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10" i="1" l="1"/>
  <c r="D9" i="1"/>
  <c r="B9" i="1"/>
  <c r="D7" i="1"/>
  <c r="B7" i="1"/>
  <c r="D5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582CD99-5265-4408-A46E-122384793799}" keepAlive="1" name="Query - Table009 (Page 14)" description="Connection to the 'Table009 (Page 14)' query in the workbook." type="5" refreshedVersion="0" background="1">
    <dbPr connection="Provider=Microsoft.Mashup.OleDb.1;Data Source=$Workbook$;Location=&quot;Table009 (Page 14)&quot;;Extended Properties=&quot;&quot;" command="SELECT * FROM [Table009 (Page 14)]"/>
  </connection>
  <connection id="2" xr16:uid="{36792ABB-C25F-4C0D-A493-33F17D1B9454}" keepAlive="1" name="Query - Table010 (Page 14)" description="Connection to the 'Table010 (Page 14)' query in the workbook." type="5" refreshedVersion="0" background="1">
    <dbPr connection="Provider=Microsoft.Mashup.OleDb.1;Data Source=$Workbook$;Location=&quot;Table010 (Page 14)&quot;;Extended Properties=&quot;&quot;" command="SELECT * FROM [Table010 (Page 14)]"/>
  </connection>
</connections>
</file>

<file path=xl/sharedStrings.xml><?xml version="1.0" encoding="utf-8"?>
<sst xmlns="http://schemas.openxmlformats.org/spreadsheetml/2006/main" count="21" uniqueCount="20">
  <si>
    <t>EMPLOYEE</t>
  </si>
  <si>
    <t>DATE</t>
  </si>
  <si>
    <t>Pension@8%</t>
  </si>
  <si>
    <t>P.A.Y.E.</t>
  </si>
  <si>
    <t>U.I.F.</t>
  </si>
  <si>
    <t>BondRepayment</t>
  </si>
  <si>
    <t>TotalDeductions</t>
  </si>
  <si>
    <t>INCOME</t>
  </si>
  <si>
    <t>AMOUNT</t>
  </si>
  <si>
    <t>DEDUCTION</t>
  </si>
  <si>
    <t>T MARONGO</t>
  </si>
  <si>
    <t>STAFF NO</t>
  </si>
  <si>
    <t>NEXT PAY DATE</t>
  </si>
  <si>
    <t>BASIC SALARY p.a.</t>
  </si>
  <si>
    <t>Net Salary</t>
  </si>
  <si>
    <t>Basic Salary</t>
  </si>
  <si>
    <t>Housing Subsidy</t>
  </si>
  <si>
    <t>Vehicle Allowance</t>
  </si>
  <si>
    <t>Medical Aid</t>
  </si>
  <si>
    <t>Gross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</si>
</sst>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&quot;₹&quot;\ #,##0.00"/>
  </numFmts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9" tint="0.7999816888943144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NumberFormat="1" applyFont="1" applyFill="1" applyBorder="1"/>
    <xf numFmtId="0" fontId="1" fillId="3" borderId="1" xfId="0" applyNumberFormat="1" applyFont="1" applyFill="1" applyBorder="1"/>
    <xf numFmtId="15" fontId="1" fillId="3" borderId="1" xfId="0" applyNumberFormat="1" applyFont="1" applyFill="1" applyBorder="1"/>
    <xf numFmtId="0" fontId="2" fillId="2" borderId="1" xfId="0" applyNumberFormat="1" applyFont="1" applyFill="1" applyBorder="1"/>
    <xf numFmtId="0" fontId="2" fillId="3" borderId="1" xfId="0" applyNumberFormat="1" applyFont="1" applyFill="1" applyBorder="1"/>
    <xf numFmtId="0" fontId="2" fillId="3" borderId="2" xfId="0" applyNumberFormat="1" applyFont="1" applyFill="1" applyBorder="1"/>
    <xf numFmtId="168" fontId="1" fillId="2" borderId="1" xfId="0" applyNumberFormat="1" applyFont="1" applyFill="1" applyBorder="1"/>
    <xf numFmtId="168" fontId="1" fillId="3" borderId="1" xfId="0" applyNumberFormat="1" applyFont="1" applyFill="1" applyBorder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1AD4B-5EE2-4392-822A-408D5A1B32E3}">
  <dimension ref="A1:D10"/>
  <sheetViews>
    <sheetView tabSelected="1" view="pageLayout" zoomScaleNormal="100" workbookViewId="0">
      <selection activeCell="C45" sqref="C44:C45"/>
    </sheetView>
  </sheetViews>
  <sheetFormatPr defaultRowHeight="15" x14ac:dyDescent="0.25"/>
  <cols>
    <col min="1" max="1" width="18.7109375" customWidth="1"/>
    <col min="2" max="2" width="21.28515625" customWidth="1"/>
    <col min="3" max="3" width="23.7109375" customWidth="1"/>
    <col min="4" max="4" width="15" bestFit="1" customWidth="1"/>
  </cols>
  <sheetData>
    <row r="1" spans="1:4" x14ac:dyDescent="0.25">
      <c r="A1" s="4" t="s">
        <v>0</v>
      </c>
      <c r="B1" s="1" t="s">
        <v>10</v>
      </c>
      <c r="C1" s="4" t="s">
        <v>11</v>
      </c>
      <c r="D1" s="1">
        <v>4</v>
      </c>
    </row>
    <row r="2" spans="1:4" x14ac:dyDescent="0.25">
      <c r="A2" s="5" t="s">
        <v>1</v>
      </c>
      <c r="B2" s="3">
        <v>42460</v>
      </c>
      <c r="C2" s="5" t="s">
        <v>12</v>
      </c>
      <c r="D2" s="3">
        <v>42490</v>
      </c>
    </row>
    <row r="3" spans="1:4" x14ac:dyDescent="0.25">
      <c r="A3" s="4" t="s">
        <v>13</v>
      </c>
      <c r="B3" s="7">
        <v>31200</v>
      </c>
      <c r="C3" s="1"/>
      <c r="D3" s="1"/>
    </row>
    <row r="4" spans="1:4" x14ac:dyDescent="0.25">
      <c r="A4" t="s">
        <v>7</v>
      </c>
      <c r="B4" t="s">
        <v>8</v>
      </c>
      <c r="C4" t="s">
        <v>9</v>
      </c>
      <c r="D4" t="s">
        <v>8</v>
      </c>
    </row>
    <row r="5" spans="1:4" x14ac:dyDescent="0.25">
      <c r="A5" s="1" t="s">
        <v>15</v>
      </c>
      <c r="B5" s="7">
        <v>31200</v>
      </c>
      <c r="C5" s="1" t="s">
        <v>2</v>
      </c>
      <c r="D5" s="8">
        <f>0.08*B3</f>
        <v>2496</v>
      </c>
    </row>
    <row r="6" spans="1:4" x14ac:dyDescent="0.25">
      <c r="A6" s="2" t="s">
        <v>16</v>
      </c>
      <c r="B6" s="8">
        <v>6000</v>
      </c>
      <c r="C6" s="2" t="s">
        <v>3</v>
      </c>
      <c r="D6" s="9">
        <v>636.83000000000004</v>
      </c>
    </row>
    <row r="7" spans="1:4" x14ac:dyDescent="0.25">
      <c r="A7" s="1" t="s">
        <v>17</v>
      </c>
      <c r="B7" s="8">
        <f>100*12</f>
        <v>1200</v>
      </c>
      <c r="C7" s="1" t="s">
        <v>4</v>
      </c>
      <c r="D7" s="8">
        <f>(0.01*B3)+B6</f>
        <v>6312</v>
      </c>
    </row>
    <row r="8" spans="1:4" x14ac:dyDescent="0.25">
      <c r="A8" s="2" t="s">
        <v>18</v>
      </c>
      <c r="B8" s="8">
        <v>70</v>
      </c>
      <c r="C8" s="2" t="s">
        <v>5</v>
      </c>
      <c r="D8" s="8">
        <v>630</v>
      </c>
    </row>
    <row r="9" spans="1:4" x14ac:dyDescent="0.25">
      <c r="A9" s="1" t="s">
        <v>19</v>
      </c>
      <c r="B9" s="8">
        <f>SUM(B5:B8)</f>
        <v>38470</v>
      </c>
      <c r="C9" s="1" t="s">
        <v>6</v>
      </c>
      <c r="D9" s="8">
        <f>SUM(D5:D8)</f>
        <v>10074.83</v>
      </c>
    </row>
    <row r="10" spans="1:4" x14ac:dyDescent="0.25">
      <c r="C10" s="6" t="s">
        <v>14</v>
      </c>
      <c r="D10" s="9">
        <f>(B9-D9)</f>
        <v>28395.17</v>
      </c>
    </row>
  </sheetData>
  <pageMargins left="0.7" right="0.7" top="0.75" bottom="0.75" header="0.3" footer="0.3"/>
  <pageSetup orientation="portrait" r:id="rId1"/>
  <headerFooter>
    <oddFooter>&amp;Lname: Venkatesh&amp;Csubject: MCA Lab&amp;Rquestion no: 3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CD5CB25-1000-446C-B204-4F1A3EDBC37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CSD</dc:creator>
  <cp:lastModifiedBy>CSD</cp:lastModifiedBy>
  <dcterms:created xsi:type="dcterms:W3CDTF">2026-08-11T07:19:49Z</dcterms:created>
  <dcterms:modified xsi:type="dcterms:W3CDTF">2026-08-11T07:41:50Z</dcterms:modified>
</cp:coreProperties>
</file>