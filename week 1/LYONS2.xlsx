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Sem1\week 1\"/>
    </mc:Choice>
  </mc:AlternateContent>
  <xr:revisionPtr revIDLastSave="0" documentId="13_ncr:1_{AE842399-E1AC-45B3-9D3D-777DC6F24EB4}" xr6:coauthVersionLast="47" xr6:coauthVersionMax="47" xr10:uidLastSave="{00000000-0000-0000-0000-000000000000}"/>
  <bookViews>
    <workbookView xWindow="-120" yWindow="-120" windowWidth="20730" windowHeight="11040" xr2:uid="{DD2445CD-5DD3-4561-A6D9-7367A99AC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F6" i="1"/>
  <c r="G6" i="1" s="1"/>
  <c r="C3" i="1"/>
  <c r="D3" i="1" s="1"/>
  <c r="F3" i="1" s="1"/>
  <c r="G3" i="1" s="1"/>
  <c r="C4" i="1"/>
  <c r="C5" i="1"/>
  <c r="C6" i="1"/>
  <c r="D6" i="1" s="1"/>
  <c r="C2" i="1"/>
  <c r="E11" i="1"/>
  <c r="B11" i="1"/>
  <c r="E9" i="1"/>
  <c r="E10" i="1"/>
  <c r="B10" i="1"/>
  <c r="B9" i="1"/>
  <c r="E8" i="1"/>
  <c r="B8" i="1"/>
  <c r="D4" i="1"/>
  <c r="F4" i="1" s="1"/>
  <c r="G4" i="1" s="1"/>
  <c r="C11" i="1" l="1"/>
  <c r="D5" i="1"/>
  <c r="F5" i="1" s="1"/>
  <c r="G5" i="1" s="1"/>
  <c r="C10" i="1"/>
  <c r="C9" i="1"/>
  <c r="D2" i="1"/>
  <c r="F2" i="1" s="1"/>
  <c r="C8" i="1"/>
  <c r="D11" i="1" l="1"/>
  <c r="D9" i="1"/>
  <c r="D8" i="1"/>
  <c r="D10" i="1"/>
  <c r="F9" i="1" l="1"/>
  <c r="F8" i="1"/>
  <c r="F10" i="1"/>
  <c r="F11" i="1"/>
  <c r="G9" i="1" l="1"/>
  <c r="G8" i="1"/>
  <c r="G10" i="1"/>
  <c r="G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4BD9B-DE06-4A25-9993-9FB869C15AE1}" keepAlive="1" name="Query - Table012 (Page 15)" description="Connection to the 'Table012 (Page 15)' query in the workbook." type="5" refreshedVersion="0" background="1">
    <dbPr connection="Provider=Microsoft.Mashup.OleDb.1;Data Source=$Workbook$;Location=&quot;Table012 (Page 15)&quot;;Extended Properties=&quot;&quot;" command="SELECT * FROM [Table012 (Page 15)]"/>
  </connection>
</connections>
</file>

<file path=xl/sharedStrings.xml><?xml version="1.0" encoding="utf-8"?>
<sst xmlns="http://schemas.openxmlformats.org/spreadsheetml/2006/main" count="16" uniqueCount="16">
  <si>
    <t>PRODUCT</t>
  </si>
  <si>
    <t>PROFIT</t>
  </si>
  <si>
    <t>Cascade</t>
  </si>
  <si>
    <t>Quench</t>
  </si>
  <si>
    <t>Xtra</t>
  </si>
  <si>
    <t>SunSplash</t>
  </si>
  <si>
    <t>HouseBrand</t>
  </si>
  <si>
    <t>SELLING PRICE</t>
  </si>
  <si>
    <t>LITRES SOLD</t>
  </si>
  <si>
    <t>TOTAL INCOME</t>
  </si>
  <si>
    <t>TOTAL</t>
  </si>
  <si>
    <t>HIGHEST</t>
  </si>
  <si>
    <t>LOWEST</t>
  </si>
  <si>
    <t>COST PRICE PER LITRE</t>
  </si>
  <si>
    <t>MARKUP PER ITEM 35%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</si>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</sst>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NumberFormat="1" applyFont="1" applyFill="1" applyBorder="1"/>
    <xf numFmtId="0" fontId="0" fillId="2" borderId="1" xfId="0" applyFont="1" applyFill="1" applyBorder="1"/>
    <xf numFmtId="0" fontId="0" fillId="3" borderId="1" xfId="0" applyNumberFormat="1" applyFont="1" applyFill="1" applyBorder="1"/>
    <xf numFmtId="0" fontId="0" fillId="3" borderId="1" xfId="0" applyFont="1" applyFill="1" applyBorder="1"/>
    <xf numFmtId="2" fontId="0" fillId="2" borderId="1" xfId="0" applyNumberFormat="1" applyFont="1" applyFill="1" applyBorder="1"/>
    <xf numFmtId="2" fontId="0" fillId="3" borderId="1" xfId="0" applyNumberFormat="1" applyFont="1" applyFill="1" applyBorder="1"/>
    <xf numFmtId="0" fontId="1" fillId="0" borderId="0" xfId="0" applyFont="1" applyAlignment="1">
      <alignment horizontal="center" wrapText="1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COST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95-438D-A508-43DF8EFDB2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95-438D-A508-43DF8EFDB2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95-438D-A508-43DF8EFDB2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95-438D-A508-43DF8EFDB2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95-438D-A508-43DF8EFDB2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SunSplash</c:v>
                </c:pt>
                <c:pt idx="4">
                  <c:v>HouseBrand</c:v>
                </c:pt>
              </c:strCache>
            </c:strRef>
          </c:cat>
          <c:val>
            <c:numRef>
              <c:f>Sheet1!$B$2:$B$6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7-4F3A-AE9A-92FB2E0D13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9525</xdr:rowOff>
    </xdr:from>
    <xdr:to>
      <xdr:col>15</xdr:col>
      <xdr:colOff>514350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CC120-9B19-A195-EDDA-C9F94A144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AEE2-0D18-4107-96F8-75832AC63788}">
  <dimension ref="A1:G11"/>
  <sheetViews>
    <sheetView tabSelected="1" workbookViewId="0">
      <selection activeCell="E15" sqref="E15"/>
    </sheetView>
  </sheetViews>
  <sheetFormatPr defaultRowHeight="15" x14ac:dyDescent="0.25"/>
  <cols>
    <col min="1" max="1" width="11.7109375" bestFit="1" customWidth="1"/>
    <col min="2" max="2" width="19.140625" bestFit="1" customWidth="1"/>
    <col min="3" max="3" width="20.5703125" bestFit="1" customWidth="1"/>
    <col min="4" max="4" width="10.85546875" customWidth="1"/>
    <col min="5" max="5" width="10.140625" customWidth="1"/>
    <col min="6" max="6" width="12.42578125" customWidth="1"/>
  </cols>
  <sheetData>
    <row r="1" spans="1:7" ht="30" x14ac:dyDescent="0.25">
      <c r="A1" s="7" t="s">
        <v>0</v>
      </c>
      <c r="B1" s="7" t="s">
        <v>13</v>
      </c>
      <c r="C1" s="7" t="s">
        <v>14</v>
      </c>
      <c r="D1" s="7" t="s">
        <v>7</v>
      </c>
      <c r="E1" s="7" t="s">
        <v>8</v>
      </c>
      <c r="F1" s="7" t="s">
        <v>9</v>
      </c>
      <c r="G1" s="7" t="s">
        <v>1</v>
      </c>
    </row>
    <row r="2" spans="1:7" x14ac:dyDescent="0.25">
      <c r="A2" s="1" t="s">
        <v>2</v>
      </c>
      <c r="B2" s="5">
        <v>3.75</v>
      </c>
      <c r="C2" s="5">
        <f>PRODUCT(B2,0.35)</f>
        <v>1.3125</v>
      </c>
      <c r="D2" s="5">
        <f>SUM(B2:C2)</f>
        <v>5.0625</v>
      </c>
      <c r="E2" s="2">
        <v>234</v>
      </c>
      <c r="F2" s="5">
        <f>PRODUCT(E2*D2)</f>
        <v>1184.625</v>
      </c>
      <c r="G2" s="5">
        <f>F2-PRODUCT(B2,E2)</f>
        <v>307.125</v>
      </c>
    </row>
    <row r="3" spans="1:7" x14ac:dyDescent="0.25">
      <c r="A3" s="3" t="s">
        <v>3</v>
      </c>
      <c r="B3" s="6">
        <v>3.65</v>
      </c>
      <c r="C3" s="5">
        <f t="shared" ref="C3:C6" si="0">PRODUCT(B3,0.35)</f>
        <v>1.2774999999999999</v>
      </c>
      <c r="D3" s="5">
        <f t="shared" ref="D3:D6" si="1">SUM(B3:C3)</f>
        <v>4.9275000000000002</v>
      </c>
      <c r="E3" s="4">
        <v>345</v>
      </c>
      <c r="F3" s="5">
        <f t="shared" ref="F3:F6" si="2">PRODUCT(E3*D3)</f>
        <v>1699.9875000000002</v>
      </c>
      <c r="G3" s="5">
        <f t="shared" ref="G3:G6" si="3">(F3-PRODUCT(B3*E3))</f>
        <v>440.73750000000018</v>
      </c>
    </row>
    <row r="4" spans="1:7" x14ac:dyDescent="0.25">
      <c r="A4" s="1" t="s">
        <v>4</v>
      </c>
      <c r="B4" s="5">
        <v>4.25</v>
      </c>
      <c r="C4" s="5">
        <f t="shared" si="0"/>
        <v>1.4874999999999998</v>
      </c>
      <c r="D4" s="5">
        <f t="shared" si="1"/>
        <v>5.7374999999999998</v>
      </c>
      <c r="E4" s="2">
        <v>456</v>
      </c>
      <c r="F4" s="5">
        <f t="shared" si="2"/>
        <v>2616.2999999999997</v>
      </c>
      <c r="G4" s="5">
        <f t="shared" si="3"/>
        <v>678.29999999999973</v>
      </c>
    </row>
    <row r="5" spans="1:7" x14ac:dyDescent="0.25">
      <c r="A5" s="3" t="s">
        <v>5</v>
      </c>
      <c r="B5" s="6">
        <v>1.5</v>
      </c>
      <c r="C5" s="5">
        <f t="shared" si="0"/>
        <v>0.52499999999999991</v>
      </c>
      <c r="D5" s="5">
        <f t="shared" si="1"/>
        <v>2.0249999999999999</v>
      </c>
      <c r="E5" s="4">
        <v>123</v>
      </c>
      <c r="F5" s="5">
        <f t="shared" si="2"/>
        <v>249.07499999999999</v>
      </c>
      <c r="G5" s="5">
        <f t="shared" si="3"/>
        <v>64.574999999999989</v>
      </c>
    </row>
    <row r="6" spans="1:7" x14ac:dyDescent="0.25">
      <c r="A6" s="1" t="s">
        <v>6</v>
      </c>
      <c r="B6" s="5">
        <v>1.5</v>
      </c>
      <c r="C6" s="5">
        <f t="shared" si="0"/>
        <v>0.52499999999999991</v>
      </c>
      <c r="D6" s="5">
        <f t="shared" si="1"/>
        <v>2.0249999999999999</v>
      </c>
      <c r="E6" s="2">
        <v>245</v>
      </c>
      <c r="F6" s="5">
        <f t="shared" si="2"/>
        <v>496.125</v>
      </c>
      <c r="G6" s="5">
        <f t="shared" si="3"/>
        <v>128.625</v>
      </c>
    </row>
    <row r="8" spans="1:7" x14ac:dyDescent="0.25">
      <c r="A8" s="8" t="s">
        <v>10</v>
      </c>
      <c r="B8" s="9">
        <f>SUM(B2:B6)</f>
        <v>14.65</v>
      </c>
      <c r="C8" s="9">
        <f t="shared" ref="C8:G8" si="4">SUM(C2:C6)</f>
        <v>5.1274999999999995</v>
      </c>
      <c r="D8" s="9">
        <f t="shared" si="4"/>
        <v>19.777499999999996</v>
      </c>
      <c r="E8" s="8">
        <f t="shared" si="4"/>
        <v>1403</v>
      </c>
      <c r="F8" s="9">
        <f t="shared" si="4"/>
        <v>6246.1125000000002</v>
      </c>
      <c r="G8" s="9">
        <f t="shared" si="4"/>
        <v>1619.3625</v>
      </c>
    </row>
    <row r="9" spans="1:7" x14ac:dyDescent="0.25">
      <c r="A9" s="8" t="s">
        <v>11</v>
      </c>
      <c r="B9" s="9">
        <f>MAX(B2:B6)</f>
        <v>4.25</v>
      </c>
      <c r="C9" s="9">
        <f t="shared" ref="C9:G9" si="5">MAX(C2:C6)</f>
        <v>1.4874999999999998</v>
      </c>
      <c r="D9" s="9">
        <f t="shared" si="5"/>
        <v>5.7374999999999998</v>
      </c>
      <c r="E9" s="8">
        <f t="shared" si="5"/>
        <v>456</v>
      </c>
      <c r="F9" s="9">
        <f t="shared" si="5"/>
        <v>2616.2999999999997</v>
      </c>
      <c r="G9" s="9">
        <f t="shared" si="5"/>
        <v>678.29999999999973</v>
      </c>
    </row>
    <row r="10" spans="1:7" x14ac:dyDescent="0.25">
      <c r="A10" s="8" t="s">
        <v>12</v>
      </c>
      <c r="B10" s="9">
        <f>MIN(B2:B6)</f>
        <v>1.5</v>
      </c>
      <c r="C10" s="9">
        <f t="shared" ref="C10:G10" si="6">MIN(C2:C6)</f>
        <v>0.52499999999999991</v>
      </c>
      <c r="D10" s="9">
        <f t="shared" si="6"/>
        <v>2.0249999999999999</v>
      </c>
      <c r="E10" s="8">
        <f t="shared" si="6"/>
        <v>123</v>
      </c>
      <c r="F10" s="9">
        <f t="shared" si="6"/>
        <v>249.07499999999999</v>
      </c>
      <c r="G10" s="9">
        <f t="shared" si="6"/>
        <v>64.574999999999989</v>
      </c>
    </row>
    <row r="11" spans="1:7" x14ac:dyDescent="0.25">
      <c r="A11" s="8" t="s">
        <v>15</v>
      </c>
      <c r="B11" s="9">
        <f>AVERAGE(B2:B6)</f>
        <v>2.93</v>
      </c>
      <c r="C11" s="9">
        <f t="shared" ref="C11:G11" si="7">AVERAGE(C2:C6)</f>
        <v>1.0254999999999999</v>
      </c>
      <c r="D11" s="9">
        <f t="shared" si="7"/>
        <v>3.9554999999999993</v>
      </c>
      <c r="E11" s="8">
        <f t="shared" si="7"/>
        <v>280.60000000000002</v>
      </c>
      <c r="F11" s="9">
        <f t="shared" si="7"/>
        <v>1249.2225000000001</v>
      </c>
      <c r="G11" s="9">
        <f t="shared" si="7"/>
        <v>323.8725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CA06F-70F4-40AF-A915-2775775A6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2026-08-11T07:48:44Z</dcterms:created>
  <dcterms:modified xsi:type="dcterms:W3CDTF">2026-08-12T07:11:46Z</dcterms:modified>
</cp:coreProperties>
</file>